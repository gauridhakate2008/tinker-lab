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7895" windowHeight="7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/>
  <c r="M10" i="1" s="1"/>
  <c r="L11" i="1"/>
  <c r="M11" i="1" s="1"/>
  <c r="L12" i="1"/>
  <c r="M12" i="1" s="1"/>
  <c r="L13" i="1"/>
  <c r="L14" i="1"/>
  <c r="L15" i="1"/>
  <c r="L16" i="1"/>
  <c r="L17" i="1"/>
  <c r="L18" i="1"/>
  <c r="M18" i="1" s="1"/>
  <c r="L19" i="1"/>
  <c r="M19" i="1" s="1"/>
  <c r="L20" i="1"/>
  <c r="M20" i="1" s="1"/>
  <c r="L21" i="1"/>
  <c r="L22" i="1"/>
  <c r="M22" i="1" s="1"/>
  <c r="L8" i="1"/>
  <c r="M9" i="1"/>
  <c r="M13" i="1"/>
  <c r="M14" i="1"/>
  <c r="M15" i="1"/>
  <c r="M16" i="1"/>
  <c r="M17" i="1"/>
  <c r="M21" i="1"/>
  <c r="M8" i="1"/>
  <c r="N9" i="1"/>
  <c r="N10" i="1"/>
  <c r="N11" i="1"/>
  <c r="N12" i="1"/>
  <c r="N13" i="1"/>
  <c r="N14" i="1"/>
  <c r="N15" i="1"/>
  <c r="N16" i="1"/>
  <c r="N17" i="1"/>
  <c r="N18" i="1"/>
  <c r="N21" i="1"/>
  <c r="N22" i="1"/>
  <c r="N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8" i="1"/>
  <c r="N20" i="1" l="1"/>
  <c r="N19" i="1"/>
</calcChain>
</file>

<file path=xl/sharedStrings.xml><?xml version="1.0" encoding="utf-8"?>
<sst xmlns="http://schemas.openxmlformats.org/spreadsheetml/2006/main" count="37" uniqueCount="35">
  <si>
    <t>PRAC1</t>
  </si>
  <si>
    <t>PRAC2</t>
  </si>
  <si>
    <t>PRAC3</t>
  </si>
  <si>
    <t>PRAC</t>
  </si>
  <si>
    <t>SR.NO</t>
  </si>
  <si>
    <t>NAME</t>
  </si>
  <si>
    <t>SUB1</t>
  </si>
  <si>
    <t>SUB2</t>
  </si>
  <si>
    <t>SUB3</t>
  </si>
  <si>
    <t>SUB4</t>
  </si>
  <si>
    <t>P1</t>
  </si>
  <si>
    <t>P2</t>
  </si>
  <si>
    <t>P3</t>
  </si>
  <si>
    <t>P4</t>
  </si>
  <si>
    <t>TOTAL</t>
  </si>
  <si>
    <t>RESULT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</si>
  <si>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</si>
  <si>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</si>
  <si>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</si>
  <si>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</si>
  <si>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</si>
  <si>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</si>
  <si>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</si>
  <si>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</si>
  <si>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</si>
  <si>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</si>
  <si>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</si>
  <si>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</si>
  <si>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</si>
  <si>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</si>
  <si>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</si>
  <si>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ab</t>
  </si>
  <si>
    <t>percent</t>
  </si>
  <si>
    <t>RANK</t>
  </si>
  <si>
    <t>1.calculate p1 to p4 according to there preference give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</si>
</sst>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S17" sqref="S17"/>
    </sheetView>
  </sheetViews>
  <sheetFormatPr defaultRowHeight="15" x14ac:dyDescent="0.25"/>
  <sheetData>
    <row r="1" spans="1:14" x14ac:dyDescent="0.25">
      <c r="A1" t="s">
        <v>0</v>
      </c>
      <c r="B1">
        <v>60</v>
      </c>
      <c r="D1" s="1" t="s">
        <v>34</v>
      </c>
      <c r="E1" s="1"/>
      <c r="F1" s="1"/>
      <c r="G1" s="1"/>
      <c r="H1" s="1"/>
      <c r="I1" s="1"/>
    </row>
    <row r="2" spans="1:14" x14ac:dyDescent="0.25">
      <c r="A2" t="s">
        <v>1</v>
      </c>
      <c r="B2">
        <v>65</v>
      </c>
      <c r="D2" s="1"/>
      <c r="E2" s="1"/>
      <c r="F2" s="1"/>
      <c r="G2" s="1"/>
      <c r="H2" s="1"/>
      <c r="I2" s="1"/>
    </row>
    <row r="3" spans="1:14" x14ac:dyDescent="0.25">
      <c r="A3" t="s">
        <v>2</v>
      </c>
      <c r="B3">
        <v>70</v>
      </c>
      <c r="D3" s="1"/>
      <c r="E3" s="1"/>
      <c r="F3" s="1"/>
      <c r="G3" s="1"/>
      <c r="H3" s="1"/>
      <c r="I3" s="1"/>
    </row>
    <row r="4" spans="1:14" x14ac:dyDescent="0.25">
      <c r="A4" t="s">
        <v>3</v>
      </c>
      <c r="B4">
        <v>75</v>
      </c>
      <c r="D4" s="1"/>
      <c r="E4" s="1"/>
      <c r="F4" s="1"/>
      <c r="G4" s="1"/>
      <c r="H4" s="1"/>
      <c r="I4" s="1"/>
    </row>
    <row r="7" spans="1:14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32</v>
      </c>
      <c r="M7" t="s">
        <v>15</v>
      </c>
      <c r="N7" t="s">
        <v>33</v>
      </c>
    </row>
    <row r="8" spans="1:14" x14ac:dyDescent="0.25">
      <c r="A8">
        <v>1</v>
      </c>
      <c r="B8" t="s">
        <v>16</v>
      </c>
      <c r="C8">
        <v>54</v>
      </c>
      <c r="D8">
        <v>23</v>
      </c>
      <c r="E8">
        <v>95</v>
      </c>
      <c r="F8">
        <v>75</v>
      </c>
      <c r="K8">
        <f>SUM(C8:F8)</f>
        <v>247</v>
      </c>
      <c r="L8">
        <f>K8/500*100</f>
        <v>49.4</v>
      </c>
      <c r="M8" t="str">
        <f>IF(L8&gt;=50,"PASS","FAIL")</f>
        <v>FAIL</v>
      </c>
      <c r="N8">
        <f>IF(L8&gt;=90,"Distinction",IF(L8&gt;=80,"A+",IF(L8&gt;=70,"A",IF(L8&gt;=60,"B+",IF(L8&gt;=50,"B",)))))</f>
        <v>0</v>
      </c>
    </row>
    <row r="9" spans="1:14" x14ac:dyDescent="0.25">
      <c r="A9">
        <v>2</v>
      </c>
      <c r="B9" t="s">
        <v>17</v>
      </c>
      <c r="C9">
        <v>85</v>
      </c>
      <c r="D9">
        <v>95</v>
      </c>
      <c r="E9">
        <v>85</v>
      </c>
      <c r="F9">
        <v>65</v>
      </c>
      <c r="K9">
        <f t="shared" ref="K9:K22" si="0">SUM(C9:F9)</f>
        <v>330</v>
      </c>
      <c r="L9">
        <f t="shared" ref="L9:L22" si="1">K9/500*100</f>
        <v>66</v>
      </c>
      <c r="M9" t="str">
        <f t="shared" ref="M9:M22" si="2">IF(L9&gt;=50,"PASS","FAIL")</f>
        <v>PASS</v>
      </c>
      <c r="N9" t="str">
        <f t="shared" ref="N9:N22" si="3">IF(L9&gt;=90,"Distinction",IF(L9&gt;=80,"A+",IF(L9&gt;=70,"A",IF(L9&gt;=60,"B+",IF(L9&gt;=50,"B",)))))</f>
        <v>B+</v>
      </c>
    </row>
    <row r="10" spans="1:14" x14ac:dyDescent="0.25">
      <c r="A10">
        <v>3</v>
      </c>
      <c r="B10" t="s">
        <v>18</v>
      </c>
      <c r="C10">
        <v>75</v>
      </c>
      <c r="D10">
        <v>65</v>
      </c>
      <c r="E10">
        <v>0</v>
      </c>
      <c r="F10">
        <v>99</v>
      </c>
      <c r="I10" s="2"/>
      <c r="K10">
        <f t="shared" si="0"/>
        <v>239</v>
      </c>
      <c r="L10">
        <f t="shared" si="1"/>
        <v>47.8</v>
      </c>
      <c r="M10" t="str">
        <f t="shared" si="2"/>
        <v>FAIL</v>
      </c>
      <c r="N10">
        <f t="shared" si="3"/>
        <v>0</v>
      </c>
    </row>
    <row r="11" spans="1:14" x14ac:dyDescent="0.25">
      <c r="A11">
        <v>4</v>
      </c>
      <c r="B11" t="s">
        <v>19</v>
      </c>
      <c r="C11">
        <v>100</v>
      </c>
      <c r="D11">
        <v>100</v>
      </c>
      <c r="E11" t="s">
        <v>31</v>
      </c>
      <c r="F11">
        <v>100</v>
      </c>
      <c r="K11">
        <f t="shared" si="0"/>
        <v>300</v>
      </c>
      <c r="L11">
        <f t="shared" si="1"/>
        <v>60</v>
      </c>
      <c r="M11" t="str">
        <f t="shared" si="2"/>
        <v>PASS</v>
      </c>
      <c r="N11" t="str">
        <f t="shared" si="3"/>
        <v>B+</v>
      </c>
    </row>
    <row r="12" spans="1:14" x14ac:dyDescent="0.25">
      <c r="A12">
        <v>5</v>
      </c>
      <c r="B12" t="s">
        <v>20</v>
      </c>
      <c r="C12">
        <v>55</v>
      </c>
      <c r="D12">
        <v>65</v>
      </c>
      <c r="E12">
        <v>66</v>
      </c>
      <c r="F12">
        <v>88</v>
      </c>
      <c r="K12">
        <f t="shared" si="0"/>
        <v>274</v>
      </c>
      <c r="L12">
        <f t="shared" si="1"/>
        <v>54.800000000000004</v>
      </c>
      <c r="M12" t="str">
        <f t="shared" si="2"/>
        <v>PASS</v>
      </c>
      <c r="N12" t="str">
        <f t="shared" si="3"/>
        <v>B</v>
      </c>
    </row>
    <row r="13" spans="1:14" x14ac:dyDescent="0.25">
      <c r="A13">
        <v>6</v>
      </c>
      <c r="B13" t="s">
        <v>21</v>
      </c>
      <c r="C13">
        <v>78</v>
      </c>
      <c r="D13" t="s">
        <v>31</v>
      </c>
      <c r="E13">
        <v>99</v>
      </c>
      <c r="F13">
        <v>88</v>
      </c>
      <c r="K13">
        <f t="shared" si="0"/>
        <v>265</v>
      </c>
      <c r="L13">
        <f t="shared" si="1"/>
        <v>53</v>
      </c>
      <c r="M13" t="str">
        <f t="shared" si="2"/>
        <v>PASS</v>
      </c>
      <c r="N13" t="str">
        <f t="shared" si="3"/>
        <v>B</v>
      </c>
    </row>
    <row r="14" spans="1:14" x14ac:dyDescent="0.25">
      <c r="A14">
        <v>7</v>
      </c>
      <c r="B14" t="s">
        <v>22</v>
      </c>
      <c r="C14">
        <v>65</v>
      </c>
      <c r="D14">
        <v>88</v>
      </c>
      <c r="E14">
        <v>55</v>
      </c>
      <c r="F14">
        <v>65</v>
      </c>
      <c r="K14">
        <f t="shared" si="0"/>
        <v>273</v>
      </c>
      <c r="L14">
        <f t="shared" si="1"/>
        <v>54.6</v>
      </c>
      <c r="M14" t="str">
        <f t="shared" si="2"/>
        <v>PASS</v>
      </c>
      <c r="N14" t="str">
        <f t="shared" si="3"/>
        <v>B</v>
      </c>
    </row>
    <row r="15" spans="1:14" x14ac:dyDescent="0.25">
      <c r="A15">
        <v>8</v>
      </c>
      <c r="B15" t="s">
        <v>23</v>
      </c>
      <c r="C15">
        <v>86</v>
      </c>
      <c r="D15">
        <v>77</v>
      </c>
      <c r="E15">
        <v>65</v>
      </c>
      <c r="F15">
        <v>85</v>
      </c>
      <c r="K15">
        <f t="shared" si="0"/>
        <v>313</v>
      </c>
      <c r="L15">
        <f t="shared" si="1"/>
        <v>62.6</v>
      </c>
      <c r="M15" t="str">
        <f t="shared" si="2"/>
        <v>PASS</v>
      </c>
      <c r="N15" t="str">
        <f t="shared" si="3"/>
        <v>B+</v>
      </c>
    </row>
    <row r="16" spans="1:14" x14ac:dyDescent="0.25">
      <c r="A16">
        <v>9</v>
      </c>
      <c r="B16" t="s">
        <v>24</v>
      </c>
      <c r="C16">
        <v>96</v>
      </c>
      <c r="D16">
        <v>66</v>
      </c>
      <c r="E16">
        <v>95</v>
      </c>
      <c r="F16" t="s">
        <v>31</v>
      </c>
      <c r="K16">
        <f t="shared" si="0"/>
        <v>257</v>
      </c>
      <c r="L16">
        <f t="shared" si="1"/>
        <v>51.4</v>
      </c>
      <c r="M16" t="str">
        <f t="shared" si="2"/>
        <v>PASS</v>
      </c>
      <c r="N16" t="str">
        <f t="shared" si="3"/>
        <v>B</v>
      </c>
    </row>
    <row r="17" spans="1:14" x14ac:dyDescent="0.25">
      <c r="A17">
        <v>10</v>
      </c>
      <c r="B17" t="s">
        <v>25</v>
      </c>
      <c r="C17">
        <v>57</v>
      </c>
      <c r="D17">
        <v>55</v>
      </c>
      <c r="E17">
        <v>85</v>
      </c>
      <c r="F17">
        <v>0</v>
      </c>
      <c r="K17">
        <f t="shared" si="0"/>
        <v>197</v>
      </c>
      <c r="L17">
        <f t="shared" si="1"/>
        <v>39.4</v>
      </c>
      <c r="M17" t="str">
        <f t="shared" si="2"/>
        <v>FAIL</v>
      </c>
      <c r="N17">
        <f t="shared" si="3"/>
        <v>0</v>
      </c>
    </row>
    <row r="18" spans="1:14" x14ac:dyDescent="0.25">
      <c r="A18">
        <v>11</v>
      </c>
      <c r="B18" t="s">
        <v>26</v>
      </c>
      <c r="C18">
        <v>21</v>
      </c>
      <c r="D18">
        <v>88</v>
      </c>
      <c r="E18">
        <v>75</v>
      </c>
      <c r="F18">
        <v>85</v>
      </c>
      <c r="K18">
        <f t="shared" si="0"/>
        <v>269</v>
      </c>
      <c r="L18">
        <f t="shared" si="1"/>
        <v>53.800000000000004</v>
      </c>
      <c r="M18" t="str">
        <f t="shared" si="2"/>
        <v>PASS</v>
      </c>
      <c r="N18" t="str">
        <f t="shared" si="3"/>
        <v>B</v>
      </c>
    </row>
    <row r="19" spans="1:14" x14ac:dyDescent="0.25">
      <c r="A19">
        <v>12</v>
      </c>
      <c r="B19" t="s">
        <v>27</v>
      </c>
      <c r="C19">
        <v>58</v>
      </c>
      <c r="D19">
        <v>79</v>
      </c>
      <c r="E19">
        <v>45</v>
      </c>
      <c r="F19">
        <v>95</v>
      </c>
      <c r="K19">
        <f t="shared" si="0"/>
        <v>277</v>
      </c>
      <c r="L19">
        <f t="shared" si="1"/>
        <v>55.400000000000006</v>
      </c>
      <c r="M19" t="str">
        <f t="shared" si="2"/>
        <v>PASS</v>
      </c>
      <c r="N19" t="str">
        <f t="shared" si="3"/>
        <v>B</v>
      </c>
    </row>
    <row r="20" spans="1:14" x14ac:dyDescent="0.25">
      <c r="A20">
        <v>13</v>
      </c>
      <c r="B20" t="s">
        <v>28</v>
      </c>
      <c r="C20">
        <v>48</v>
      </c>
      <c r="D20">
        <v>23</v>
      </c>
      <c r="E20">
        <v>98</v>
      </c>
      <c r="F20">
        <v>75</v>
      </c>
      <c r="K20">
        <f t="shared" si="0"/>
        <v>244</v>
      </c>
      <c r="L20">
        <f t="shared" si="1"/>
        <v>48.8</v>
      </c>
      <c r="M20" t="str">
        <f t="shared" si="2"/>
        <v>FAIL</v>
      </c>
      <c r="N20">
        <f t="shared" si="3"/>
        <v>0</v>
      </c>
    </row>
    <row r="21" spans="1:14" x14ac:dyDescent="0.25">
      <c r="A21">
        <v>14</v>
      </c>
      <c r="B21" t="s">
        <v>29</v>
      </c>
      <c r="C21">
        <v>95</v>
      </c>
      <c r="D21">
        <v>56</v>
      </c>
      <c r="E21">
        <v>75</v>
      </c>
      <c r="F21">
        <v>65</v>
      </c>
      <c r="K21">
        <f t="shared" si="0"/>
        <v>291</v>
      </c>
      <c r="L21">
        <f t="shared" si="1"/>
        <v>58.199999999999996</v>
      </c>
      <c r="M21" t="str">
        <f t="shared" si="2"/>
        <v>PASS</v>
      </c>
      <c r="N21" t="str">
        <f t="shared" si="3"/>
        <v>B</v>
      </c>
    </row>
    <row r="22" spans="1:14" x14ac:dyDescent="0.25">
      <c r="A22">
        <v>15</v>
      </c>
      <c r="B22" t="s">
        <v>30</v>
      </c>
      <c r="C22">
        <v>99</v>
      </c>
      <c r="D22">
        <v>89</v>
      </c>
      <c r="E22">
        <v>96</v>
      </c>
      <c r="F22">
        <v>88</v>
      </c>
      <c r="K22">
        <f t="shared" si="0"/>
        <v>372</v>
      </c>
      <c r="L22">
        <f t="shared" si="1"/>
        <v>74.400000000000006</v>
      </c>
      <c r="M22" t="str">
        <f t="shared" si="2"/>
        <v>PASS</v>
      </c>
      <c r="N22" t="str">
        <f t="shared" si="3"/>
        <v>A</v>
      </c>
    </row>
  </sheetData>
  <mergeCells count="1">
    <mergeCell ref="D1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2026-09-22T08:09:52Z</dcterms:created>
  <dcterms:modified xsi:type="dcterms:W3CDTF">2026-09-22T09:10:41Z</dcterms:modified>
</cp:coreProperties>
</file>